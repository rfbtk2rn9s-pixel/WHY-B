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ォームの回答 1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 h:mm:ss"/>
    <numFmt numFmtId="165" formatCode="0.0%"/>
  </numFmts>
  <fonts count="6">
    <font>
      <name val="Arial"/>
      <color rgb="FF000000"/>
      <sz val="10"/>
      <scheme val="minor"/>
    </font>
    <font>
      <name val="Arial"/>
      <color theme="1"/>
      <scheme val="minor"/>
    </font>
    <font>
      <b val="1"/>
    </font>
    <font>
      <b val="1"/>
      <sz val="12"/>
    </font>
    <font>
      <b val="1"/>
      <color rgb="00FFFFFF"/>
    </font>
    <font>
      <color rgb="00666666"/>
      <sz val="9"/>
    </font>
  </fonts>
  <fills count="3">
    <fill>
      <patternFill/>
    </fill>
    <fill>
      <patternFill patternType="lightGray"/>
    </fill>
    <fill>
      <patternFill patternType="solid">
        <fgColor rgb="00568A80"/>
      </patternFill>
    </fill>
  </fills>
  <borders count="2">
    <border/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0" fontId="5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フォームの回答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ボランティア経験の有無（n=28）</a:t>
            </a:r>
          </a:p>
        </rich>
      </tx>
    </title>
    <plotArea>
      <pieChart>
        <varyColors val="1"/>
        <ser>
          <idx val="0"/>
          <order val="0"/>
          <tx>
            <strRef>
              <f>'集計'!B2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68A8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DD6CC"/>
              </a:solidFill>
              <a:ln xmlns:a="http://schemas.openxmlformats.org/drawingml/2006/main">
                <a:prstDash val="solid"/>
              </a:ln>
            </spPr>
          </dPt>
          <cat>
            <numRef>
              <f>'集計'!$A$3:$A$4</f>
            </numRef>
          </cat>
          <val>
            <numRef>
              <f>'集計'!$B$3:$B$4</f>
            </numRef>
          </val>
        </ser>
        <dLbls>
          <showLegendKey val="0"/>
          <showVal val="0"/>
          <showCatName val="1"/>
          <showSerName val="0"/>
          <showPercent val="1"/>
        </dLbls>
        <firstSliceAng val="0"/>
      </pieChart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ボランティアに参加した理由（n=20）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'集計'!B9</f>
            </strRef>
          </tx>
          <spPr>
            <a:solidFill xmlns:a="http://schemas.openxmlformats.org/drawingml/2006/main">
              <a:srgbClr val="D0805C"/>
            </a:solidFill>
            <a:ln xmlns:a="http://schemas.openxmlformats.org/drawingml/2006/main">
              <a:prstDash val="solid"/>
            </a:ln>
          </spPr>
          <cat>
            <numRef>
              <f>'集計'!$A$10:$A$15</f>
            </numRef>
          </cat>
          <val>
            <numRef>
              <f>'集計'!$B$10:$B$15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orm_Responses" displayName="Form_Responses" ref="A1:D29" headerRowCount="1">
  <tableColumns count="4">
    <tableColumn id="1" name="タイムスタンプ"/>
    <tableColumn id="2" name="メールアドレス"/>
    <tableColumn id="3" name="ボランティアをしたことがある"/>
    <tableColumn id="4" name="あると答えた人は、なぜボランティアに参加したのか？"/>
  </tableColumns>
  <tableStyleInfo name="フォームの回答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5" min="1" max="3"/>
    <col width="23.5" customWidth="1" style="5" min="4" max="4"/>
    <col width="22" customWidth="1" style="5" min="5" max="10"/>
  </cols>
  <sheetData>
    <row r="1" ht="22.5" customHeight="1" s="5">
      <c r="A1" s="1" t="inlineStr">
        <is>
          <t>タイムスタンプ</t>
        </is>
      </c>
      <c r="B1" s="1" t="inlineStr">
        <is>
          <t>メールアドレス</t>
        </is>
      </c>
      <c r="C1" s="1" t="inlineStr">
        <is>
          <t>ボランティアをしたことがある</t>
        </is>
      </c>
      <c r="D1" s="1" t="inlineStr">
        <is>
          <t>あると答えた人は、なぜボランティアに参加したのか？</t>
        </is>
      </c>
      <c r="E1" s="6" t="inlineStr">
        <is>
          <t>理由の分類（手作業で分類）</t>
        </is>
      </c>
    </row>
    <row r="2" ht="22.5" customHeight="1" s="5">
      <c r="A2" s="2" t="n">
        <v>46316.40665645833</v>
      </c>
      <c r="B2" s="4" t="inlineStr">
        <is>
          <t>sp260834@n-fukushi.ac.jp</t>
        </is>
      </c>
      <c r="C2" s="4" t="inlineStr">
        <is>
          <t>ない</t>
        </is>
      </c>
      <c r="D2" s="4" t="n"/>
    </row>
    <row r="3" ht="22.5" customHeight="1" s="5">
      <c r="A3" s="2" t="n">
        <v>46316.40666178241</v>
      </c>
      <c r="B3" s="4" t="inlineStr">
        <is>
          <t>sp260248@n-fukushi.ac.jp</t>
        </is>
      </c>
      <c r="C3" s="4" t="inlineStr">
        <is>
          <t>ない</t>
        </is>
      </c>
      <c r="D3" s="4" t="n"/>
    </row>
    <row r="4" ht="22.5" customHeight="1" s="5">
      <c r="A4" s="2" t="n">
        <v>46316.4069424537</v>
      </c>
      <c r="B4" s="4" t="inlineStr">
        <is>
          <t>sp260719@n-fukushi.ac.jp</t>
        </is>
      </c>
      <c r="C4" s="4" t="inlineStr">
        <is>
          <t>ある</t>
        </is>
      </c>
      <c r="D4" s="4" t="inlineStr">
        <is>
          <t>部活動で参加したため</t>
        </is>
      </c>
      <c r="E4" t="inlineStr">
        <is>
          <t>部活動・チームで</t>
        </is>
      </c>
    </row>
    <row r="5" ht="22.5" customHeight="1" s="5">
      <c r="A5" s="2" t="n">
        <v>46316.40699991898</v>
      </c>
      <c r="B5" s="4" t="inlineStr">
        <is>
          <t>sp260735@n-fukushi.ac.jp</t>
        </is>
      </c>
      <c r="C5" s="4" t="inlineStr">
        <is>
          <t>ある</t>
        </is>
      </c>
      <c r="D5" s="4" t="inlineStr">
        <is>
          <t>貢献したかったから</t>
        </is>
      </c>
      <c r="E5" t="inlineStr">
        <is>
          <t>人の役に立ちたい</t>
        </is>
      </c>
    </row>
    <row r="6" ht="22.5" customHeight="1" s="5">
      <c r="A6" s="2" t="n">
        <v>46316.40721703703</v>
      </c>
      <c r="B6" s="4" t="inlineStr">
        <is>
          <t>sp261170@n-fukushi.ac.jp</t>
        </is>
      </c>
      <c r="C6" s="4" t="inlineStr">
        <is>
          <t>ない</t>
        </is>
      </c>
      <c r="D6" s="4" t="n"/>
    </row>
    <row r="7" ht="22.5" customHeight="1" s="5">
      <c r="A7" s="2" t="n">
        <v>46316.40724663194</v>
      </c>
      <c r="B7" s="4" t="inlineStr">
        <is>
          <t>sp261675@n-fukushi.ac.jp</t>
        </is>
      </c>
      <c r="C7" s="4" t="inlineStr">
        <is>
          <t>ある</t>
        </is>
      </c>
      <c r="D7" s="4" t="inlineStr">
        <is>
          <t>部活動で強制</t>
        </is>
      </c>
      <c r="E7" t="inlineStr">
        <is>
          <t>部活動・チームで</t>
        </is>
      </c>
    </row>
    <row r="8" ht="22.5" customHeight="1" s="5">
      <c r="A8" s="2" t="n">
        <v>46316.40734731482</v>
      </c>
      <c r="B8" s="4" t="inlineStr">
        <is>
          <t>sp260495@n-fukushi.ac.jp</t>
        </is>
      </c>
      <c r="C8" s="4" t="inlineStr">
        <is>
          <t>ない</t>
        </is>
      </c>
      <c r="D8" s="4" t="n"/>
    </row>
    <row r="9" ht="22.5" customHeight="1" s="5">
      <c r="A9" s="2" t="n">
        <v>46316.40759777778</v>
      </c>
      <c r="B9" s="4" t="inlineStr">
        <is>
          <t>sp261311@n-fukushi.ac.jp</t>
        </is>
      </c>
      <c r="C9" s="4" t="inlineStr">
        <is>
          <t>ない</t>
        </is>
      </c>
      <c r="D9" s="4" t="n"/>
    </row>
    <row r="10" ht="22.5" customHeight="1" s="5">
      <c r="A10" s="2" t="n">
        <v>46316.4079775</v>
      </c>
      <c r="B10" s="4" t="inlineStr">
        <is>
          <t>sp260644@n-fukushi.ac.jp</t>
        </is>
      </c>
      <c r="C10" s="4" t="inlineStr">
        <is>
          <t>ない</t>
        </is>
      </c>
      <c r="D10" s="4" t="n"/>
    </row>
    <row r="11" ht="22.5" customHeight="1" s="5">
      <c r="A11" s="2" t="n">
        <v>46316.40805605324</v>
      </c>
      <c r="B11" s="4" t="inlineStr">
        <is>
          <t>sp261733@n-fukushi.ac.jp</t>
        </is>
      </c>
      <c r="C11" s="4" t="inlineStr">
        <is>
          <t>ある</t>
        </is>
      </c>
      <c r="D11" s="4" t="inlineStr">
        <is>
          <t>自分の成長のため</t>
        </is>
      </c>
      <c r="E11" t="inlineStr">
        <is>
          <t>自分の成長・将来</t>
        </is>
      </c>
    </row>
    <row r="12" ht="22.5" customHeight="1" s="5">
      <c r="A12" s="2" t="n">
        <v>46316.40813439815</v>
      </c>
      <c r="B12" s="4" t="inlineStr">
        <is>
          <t>sp260727@n-fukushi.ac.jp</t>
        </is>
      </c>
      <c r="C12" s="4" t="inlineStr">
        <is>
          <t>ある</t>
        </is>
      </c>
      <c r="D12" s="4" t="inlineStr">
        <is>
          <t>自分の将来に活かせるものがあると思ったから。</t>
        </is>
      </c>
      <c r="E12" t="inlineStr">
        <is>
          <t>自分の成長・将来</t>
        </is>
      </c>
    </row>
    <row r="13" ht="22.5" customHeight="1" s="5">
      <c r="A13" s="2" t="n">
        <v>46316.40814210648</v>
      </c>
      <c r="B13" s="4" t="inlineStr">
        <is>
          <t>sp260545@n-fukushi.ac.jp</t>
        </is>
      </c>
      <c r="C13" s="4" t="inlineStr">
        <is>
          <t>ある</t>
        </is>
      </c>
      <c r="D13" s="4" t="inlineStr">
        <is>
          <t>部活動で入るよう言われたため。</t>
        </is>
      </c>
      <c r="E13" t="inlineStr">
        <is>
          <t>部活動・チームで</t>
        </is>
      </c>
    </row>
    <row r="14" ht="22.5" customHeight="1" s="5">
      <c r="A14" s="2" t="n">
        <v>46316.40821418982</v>
      </c>
      <c r="B14" s="4" t="inlineStr">
        <is>
          <t>sp260966@n-fukushi.ac.jp</t>
        </is>
      </c>
      <c r="C14" s="4" t="inlineStr">
        <is>
          <t>ある</t>
        </is>
      </c>
      <c r="D14" s="4" t="inlineStr">
        <is>
          <t>防災</t>
        </is>
      </c>
      <c r="E14" t="inlineStr">
        <is>
          <t>興味・関心</t>
        </is>
      </c>
    </row>
    <row r="15" ht="22.5" customHeight="1" s="5">
      <c r="A15" s="2" t="n">
        <v>46316.40834928241</v>
      </c>
      <c r="B15" s="4" t="inlineStr">
        <is>
          <t>sp260305@n-fukushi.ac.jp</t>
        </is>
      </c>
      <c r="C15" s="4" t="inlineStr">
        <is>
          <t>ない</t>
        </is>
      </c>
      <c r="D15" s="4" t="n"/>
    </row>
    <row r="16" ht="22.5" customHeight="1" s="5">
      <c r="A16" s="2" t="n">
        <v>46316.4084390625</v>
      </c>
      <c r="B16" s="4" t="inlineStr">
        <is>
          <t>sp260776@n-fukushi.ac.jp</t>
        </is>
      </c>
      <c r="C16" s="4" t="inlineStr">
        <is>
          <t>ある</t>
        </is>
      </c>
      <c r="D16" s="4" t="inlineStr">
        <is>
          <t>頑張っている人のちょっとした手助けをしたかったから</t>
        </is>
      </c>
      <c r="E16" t="inlineStr">
        <is>
          <t>人の役に立ちたい</t>
        </is>
      </c>
    </row>
    <row r="17" ht="22.5" customHeight="1" s="5">
      <c r="A17" s="2" t="n">
        <v>46316.40859053241</v>
      </c>
      <c r="B17" s="4" t="inlineStr">
        <is>
          <t>sp260354@n-fukushi.ac.jp</t>
        </is>
      </c>
      <c r="C17" s="4" t="inlineStr">
        <is>
          <t>ある</t>
        </is>
      </c>
      <c r="D17" s="4" t="inlineStr">
        <is>
          <t>お菓子がもらえたから。</t>
        </is>
      </c>
      <c r="E17" t="inlineStr">
        <is>
          <t>その他</t>
        </is>
      </c>
    </row>
    <row r="18" ht="22.5" customHeight="1" s="5">
      <c r="A18" s="2" t="n">
        <v>46316.40898666667</v>
      </c>
      <c r="B18" s="4" t="inlineStr">
        <is>
          <t>sp261345@n-fukushi.ac.jp</t>
        </is>
      </c>
      <c r="C18" s="4" t="inlineStr">
        <is>
          <t>ある</t>
        </is>
      </c>
      <c r="D18" s="4" t="inlineStr">
        <is>
          <t>興味がある活動だったから</t>
        </is>
      </c>
      <c r="E18" t="inlineStr">
        <is>
          <t>興味・関心</t>
        </is>
      </c>
    </row>
    <row r="19" ht="22.5" customHeight="1" s="5">
      <c r="A19" s="2" t="n">
        <v>46316.40910974537</v>
      </c>
      <c r="B19" s="4" t="inlineStr">
        <is>
          <t>sp261576@n-fukushi.ac.jp</t>
        </is>
      </c>
      <c r="C19" s="4" t="inlineStr">
        <is>
          <t>ある</t>
        </is>
      </c>
      <c r="D19" s="4" t="inlineStr">
        <is>
          <t>ミニバスのみんなで参加することになったから</t>
        </is>
      </c>
      <c r="E19" t="inlineStr">
        <is>
          <t>部活動・チームで</t>
        </is>
      </c>
    </row>
    <row r="20" ht="22.5" customHeight="1" s="5">
      <c r="A20" s="2" t="n">
        <v>46316.40915788194</v>
      </c>
      <c r="B20" s="4" t="inlineStr">
        <is>
          <t>sp261519@n-fukushi.ac.jp</t>
        </is>
      </c>
      <c r="C20" s="4" t="inlineStr">
        <is>
          <t>ある</t>
        </is>
      </c>
      <c r="D20" s="4" t="inlineStr">
        <is>
          <t>自分のやっているスポーツのプロのボランティアだったので、近くで見たいと思ったから</t>
        </is>
      </c>
      <c r="E20" t="inlineStr">
        <is>
          <t>興味・関心</t>
        </is>
      </c>
    </row>
    <row r="21" ht="22.5" customHeight="1" s="5">
      <c r="A21" s="2" t="n">
        <v>46316.40952520834</v>
      </c>
      <c r="B21" s="4" t="inlineStr">
        <is>
          <t>sp260958@n-fukushi.ac.jp</t>
        </is>
      </c>
      <c r="C21" s="4" t="inlineStr">
        <is>
          <t>ある</t>
        </is>
      </c>
      <c r="D21" s="4" t="inlineStr">
        <is>
          <t>親に勧められたから</t>
        </is>
      </c>
      <c r="E21" t="inlineStr">
        <is>
          <t>家族・友人の影響</t>
        </is>
      </c>
    </row>
    <row r="22" ht="22.5" customHeight="1" s="5">
      <c r="A22" s="2" t="n">
        <v>46316.40952737269</v>
      </c>
      <c r="B22" s="4" t="inlineStr">
        <is>
          <t>sp261600@n-fukushi.ac.jp</t>
        </is>
      </c>
      <c r="C22" s="4" t="inlineStr">
        <is>
          <t>ある</t>
        </is>
      </c>
      <c r="D22" s="4" t="inlineStr">
        <is>
          <t>専門実技の先生が私の地元で防災フェスを行ったので参加した。</t>
        </is>
      </c>
      <c r="E22" t="inlineStr">
        <is>
          <t>興味・関心</t>
        </is>
      </c>
    </row>
    <row r="23" ht="22.5" customHeight="1" s="5">
      <c r="A23" s="2" t="n">
        <v>46316.40956277778</v>
      </c>
      <c r="B23" s="4" t="inlineStr">
        <is>
          <t>sp260065@n-fukushi.ac.jp</t>
        </is>
      </c>
      <c r="C23" s="4" t="inlineStr">
        <is>
          <t>ある</t>
        </is>
      </c>
      <c r="D23" s="4" t="inlineStr">
        <is>
          <t>自分の競技の勉強になるため</t>
        </is>
      </c>
      <c r="E23" t="inlineStr">
        <is>
          <t>自分の成長・将来</t>
        </is>
      </c>
    </row>
    <row r="24" ht="22.5" customHeight="1" s="5">
      <c r="A24" s="2" t="n">
        <v>46316.40957351852</v>
      </c>
      <c r="B24" s="4" t="inlineStr">
        <is>
          <t>sp261279@n-fukushi.ac.jp</t>
        </is>
      </c>
      <c r="C24" s="4" t="inlineStr">
        <is>
          <t>ある</t>
        </is>
      </c>
      <c r="D24" s="4" t="inlineStr">
        <is>
          <t>アジア大会という４年に一回の貴重な体験が名古屋という身近な場所で行われたから。</t>
        </is>
      </c>
      <c r="E24" t="inlineStr">
        <is>
          <t>興味・関心</t>
        </is>
      </c>
    </row>
    <row r="25" ht="22.5" customHeight="1" s="5">
      <c r="A25" s="2" t="n">
        <v>46316.4097115162</v>
      </c>
      <c r="B25" s="4" t="inlineStr">
        <is>
          <t>sp260453@n-fukushi.ac.jp</t>
        </is>
      </c>
      <c r="C25" s="4" t="inlineStr">
        <is>
          <t>ある</t>
        </is>
      </c>
      <c r="D25" s="4" t="inlineStr">
        <is>
          <t>履歴書に書くことができるから</t>
        </is>
      </c>
      <c r="E25" t="inlineStr">
        <is>
          <t>自分の成長・将来</t>
        </is>
      </c>
    </row>
    <row r="26" ht="22.5" customHeight="1" s="5">
      <c r="A26" s="2" t="n">
        <v>46316.41001079861</v>
      </c>
      <c r="B26" s="4" t="inlineStr">
        <is>
          <t>sp261808@n-fukushi.ac.jp</t>
        </is>
      </c>
      <c r="C26" s="4" t="inlineStr">
        <is>
          <t>ない</t>
        </is>
      </c>
      <c r="D26" s="4" t="n"/>
    </row>
    <row r="27" ht="22.5" customHeight="1" s="5">
      <c r="A27" s="2" t="n">
        <v>46316.41102690972</v>
      </c>
      <c r="B27" s="4" t="inlineStr">
        <is>
          <t>sp260883@n-fukushi.ac.jp</t>
        </is>
      </c>
      <c r="C27" s="4" t="inlineStr">
        <is>
          <t>ある</t>
        </is>
      </c>
      <c r="D27" s="4" t="inlineStr">
        <is>
          <t>友人が参加した</t>
        </is>
      </c>
      <c r="E27" t="inlineStr">
        <is>
          <t>家族・友人の影響</t>
        </is>
      </c>
    </row>
    <row r="28" ht="22.5" customHeight="1" s="5">
      <c r="A28" s="2" t="n">
        <v>46316.41129875</v>
      </c>
      <c r="B28" s="4" t="inlineStr">
        <is>
          <t>sp260024@n-fukushi.ac.jp</t>
        </is>
      </c>
      <c r="C28" s="4" t="inlineStr">
        <is>
          <t>ある</t>
        </is>
      </c>
      <c r="D28" s="4" t="inlineStr">
        <is>
          <t>経験をするためや人のために動きたいと思ったから</t>
        </is>
      </c>
      <c r="E28" t="inlineStr">
        <is>
          <t>自分の成長・将来</t>
        </is>
      </c>
    </row>
    <row r="29" ht="22.5" customHeight="1" s="5">
      <c r="A29" s="2" t="n">
        <v>46316.4115771875</v>
      </c>
      <c r="B29" s="4" t="inlineStr">
        <is>
          <t>sp260974@n-fukushi.ac.jp</t>
        </is>
      </c>
      <c r="C29" s="4" t="inlineStr">
        <is>
          <t>ある</t>
        </is>
      </c>
      <c r="D29" s="4" t="inlineStr">
        <is>
          <t>高校の部活動として参加するものだったから。</t>
        </is>
      </c>
      <c r="E29" t="inlineStr">
        <is>
          <t>部活動・チームで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style="5" min="1" max="1"/>
    <col width="8" customWidth="1" style="5" min="2" max="2"/>
    <col width="9" customWidth="1" style="5" min="3" max="3"/>
  </cols>
  <sheetData>
    <row r="1">
      <c r="A1" s="7" t="inlineStr">
        <is>
          <t>表1　ボランティア経験の有無</t>
        </is>
      </c>
    </row>
    <row r="2">
      <c r="A2" s="8" t="inlineStr">
        <is>
          <t>項目</t>
        </is>
      </c>
      <c r="B2" s="8" t="inlineStr">
        <is>
          <t>人数</t>
        </is>
      </c>
      <c r="C2" s="8" t="inlineStr">
        <is>
          <t>割合</t>
        </is>
      </c>
    </row>
    <row r="3">
      <c r="A3" s="9" t="inlineStr">
        <is>
          <t>ある</t>
        </is>
      </c>
      <c r="B3" s="9">
        <f>COUNTIF('フォームの回答 1'!$C$2:$C$29,A3)</f>
        <v/>
      </c>
      <c r="C3" s="10">
        <f>B3/$B$5</f>
        <v/>
      </c>
    </row>
    <row r="4">
      <c r="A4" s="9" t="inlineStr">
        <is>
          <t>ない</t>
        </is>
      </c>
      <c r="B4" s="9">
        <f>COUNTIF('フォームの回答 1'!$C$2:$C$29,A4)</f>
        <v/>
      </c>
      <c r="C4" s="10">
        <f>B4/$B$5</f>
        <v/>
      </c>
    </row>
    <row r="5">
      <c r="A5" s="11" t="inlineStr">
        <is>
          <t>合計</t>
        </is>
      </c>
      <c r="B5" s="11">
        <f>SUM(B3:B4)</f>
        <v/>
      </c>
      <c r="C5" s="10">
        <f>SUM(C3:C4)</f>
        <v/>
      </c>
    </row>
    <row r="8">
      <c r="A8" s="7" t="inlineStr">
        <is>
          <t>表2　参加した理由（「ある」と回答した人）</t>
        </is>
      </c>
    </row>
    <row r="9">
      <c r="A9" s="8" t="inlineStr">
        <is>
          <t>項目</t>
        </is>
      </c>
      <c r="B9" s="8" t="inlineStr">
        <is>
          <t>人数</t>
        </is>
      </c>
      <c r="C9" s="8" t="inlineStr">
        <is>
          <t>割合</t>
        </is>
      </c>
    </row>
    <row r="10">
      <c r="A10" s="9" t="inlineStr">
        <is>
          <t>部活動・チームで</t>
        </is>
      </c>
      <c r="B10" s="9">
        <f>COUNTIF('フォームの回答 1'!$E$2:$E$29,A10)</f>
        <v/>
      </c>
      <c r="C10" s="10">
        <f>B10/$B$16</f>
        <v/>
      </c>
    </row>
    <row r="11">
      <c r="A11" s="9" t="inlineStr">
        <is>
          <t>自分の成長・将来</t>
        </is>
      </c>
      <c r="B11" s="9">
        <f>COUNTIF('フォームの回答 1'!$E$2:$E$29,A11)</f>
        <v/>
      </c>
      <c r="C11" s="10">
        <f>B11/$B$16</f>
        <v/>
      </c>
    </row>
    <row r="12">
      <c r="A12" s="9" t="inlineStr">
        <is>
          <t>興味・関心</t>
        </is>
      </c>
      <c r="B12" s="9">
        <f>COUNTIF('フォームの回答 1'!$E$2:$E$29,A12)</f>
        <v/>
      </c>
      <c r="C12" s="10">
        <f>B12/$B$16</f>
        <v/>
      </c>
    </row>
    <row r="13">
      <c r="A13" s="9" t="inlineStr">
        <is>
          <t>人の役に立ちたい</t>
        </is>
      </c>
      <c r="B13" s="9">
        <f>COUNTIF('フォームの回答 1'!$E$2:$E$29,A13)</f>
        <v/>
      </c>
      <c r="C13" s="10">
        <f>B13/$B$16</f>
        <v/>
      </c>
    </row>
    <row r="14">
      <c r="A14" s="9" t="inlineStr">
        <is>
          <t>家族・友人の影響</t>
        </is>
      </c>
      <c r="B14" s="9">
        <f>COUNTIF('フォームの回答 1'!$E$2:$E$29,A14)</f>
        <v/>
      </c>
      <c r="C14" s="10">
        <f>B14/$B$16</f>
        <v/>
      </c>
    </row>
    <row r="15">
      <c r="A15" s="9" t="inlineStr">
        <is>
          <t>その他</t>
        </is>
      </c>
      <c r="B15" s="9">
        <f>COUNTIF('フォームの回答 1'!$E$2:$E$29,A15)</f>
        <v/>
      </c>
      <c r="C15" s="10">
        <f>B15/$B$16</f>
        <v/>
      </c>
    </row>
    <row r="16">
      <c r="A16" s="11" t="inlineStr">
        <is>
          <t>合計</t>
        </is>
      </c>
      <c r="B16" s="11">
        <f>SUM(B10:B15)</f>
        <v/>
      </c>
      <c r="C16" s="10">
        <f>SUM(C10:C15)</f>
        <v/>
      </c>
    </row>
    <row r="18">
      <c r="A18" s="12" t="inlineStr">
        <is>
          <t>※自由記述の回答を内容で6つに分類して集計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2026-10-27T23:05:09Z</dcterms:created>
  <dcterms:modified xmlns:dcterms="http://purl.org/dc/terms/" xmlns:xsi="http://www.w3.org/2001/XMLSchema-instance" xsi:type="dcterms:W3CDTF">2026-10-27T23:05:09Z</dcterms:modified>
</cp:coreProperties>
</file>